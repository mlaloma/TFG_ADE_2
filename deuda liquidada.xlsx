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lalomacabrera\Downloads\"/>
    </mc:Choice>
  </mc:AlternateContent>
  <xr:revisionPtr revIDLastSave="0" documentId="13_ncr:1_{AA8D65EE-B210-4B54-99F7-92CE42FD7179}" xr6:coauthVersionLast="47" xr6:coauthVersionMax="47" xr10:uidLastSave="{00000000-0000-0000-0000-000000000000}"/>
  <bookViews>
    <workbookView xWindow="-120" yWindow="-16320" windowWidth="29040" windowHeight="15720" activeTab="1" xr2:uid="{750E0D9A-0818-47F3-9D09-5D0E8EF9CFE3}"/>
  </bookViews>
  <sheets>
    <sheet name="Sheet1" sheetId="1" r:id="rId1"/>
    <sheet name="Sheet2" sheetId="2" r:id="rId2"/>
    <sheet name="Sheet3" sheetId="3" r:id="rId3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2" l="1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" i="2"/>
</calcChain>
</file>

<file path=xl/sharedStrings.xml><?xml version="1.0" encoding="utf-8"?>
<sst xmlns="http://schemas.openxmlformats.org/spreadsheetml/2006/main" count="41" uniqueCount="40">
  <si>
    <t>Año</t>
  </si>
  <si>
    <t>Deuda liquidada</t>
  </si>
  <si>
    <t>(en millones de euros)</t>
  </si>
  <si>
    <t>Total Ingresos Tributarios</t>
  </si>
  <si>
    <t>1.591.627 M€</t>
  </si>
  <si>
    <t>1.498.324 M€</t>
  </si>
  <si>
    <t>1.373.629 M€</t>
  </si>
  <si>
    <t>1.235.474 M€</t>
  </si>
  <si>
    <t>1.129.214 M€</t>
  </si>
  <si>
    <t>1.253.710 M€</t>
  </si>
  <si>
    <t>1.212.276 M€</t>
  </si>
  <si>
    <t>1.170.024 M€</t>
  </si>
  <si>
    <t>1.122.967 M€</t>
  </si>
  <si>
    <t>1.087.112 M€</t>
  </si>
  <si>
    <t>1.038.949 M€</t>
  </si>
  <si>
    <t>1.025.652 M€</t>
  </si>
  <si>
    <t>1.035.964 M€</t>
  </si>
  <si>
    <t>1.068.690 M€</t>
  </si>
  <si>
    <t>1.077.145 M€</t>
  </si>
  <si>
    <t>1.072.990 M€</t>
  </si>
  <si>
    <t>1.112.432 M€</t>
  </si>
  <si>
    <t>1.077.541 M€</t>
  </si>
  <si>
    <t>1.004.976 M€</t>
  </si>
  <si>
    <t>928.122 M€</t>
  </si>
  <si>
    <t>860.059 M€</t>
  </si>
  <si>
    <t>802.683 M€</t>
  </si>
  <si>
    <t>749.744 M€</t>
  </si>
  <si>
    <t>700.958 M€</t>
  </si>
  <si>
    <t>647.569 M€</t>
  </si>
  <si>
    <t>595.242 M€</t>
  </si>
  <si>
    <t>555.559 M€</t>
  </si>
  <si>
    <t>518.971 M€</t>
  </si>
  <si>
    <t>488.946 M€</t>
  </si>
  <si>
    <t>459.337 M€</t>
  </si>
  <si>
    <t>PIB</t>
  </si>
  <si>
    <t>Datos en millones de euros</t>
  </si>
  <si>
    <t>Economía sumergida</t>
  </si>
  <si>
    <t>Recaudación</t>
  </si>
  <si>
    <t>Ingresos no declarados</t>
  </si>
  <si>
    <t>No tiene demasiado sentido esto es igual que el total de ingresos tributarios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</si>
</sst>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"/>
      <family val="2"/>
    </font>
    <font>
      <sz val="11"/>
      <color theme="1"/>
      <name val="Aptos"/>
      <family val="2"/>
    </font>
    <font>
      <sz val="10"/>
      <name val="Arial"/>
      <family val="2"/>
    </font>
    <font>
      <b/>
      <sz val="10"/>
      <name val="Verdana"/>
      <family val="2"/>
    </font>
    <font>
      <b/>
      <sz val="9"/>
      <name val="Verdana"/>
      <family val="2"/>
    </font>
    <font>
      <sz val="1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3" fontId="3" fillId="0" borderId="0" xfId="2" applyNumberFormat="1" applyFont="1"/>
    <xf numFmtId="3" fontId="4" fillId="0" borderId="0" xfId="2" applyNumberFormat="1" applyFont="1"/>
    <xf numFmtId="0" fontId="0" fillId="0" borderId="0" xfId="0" applyNumberFormat="1"/>
    <xf numFmtId="9" fontId="5" fillId="0" borderId="0" xfId="1" applyFont="1"/>
    <xf numFmtId="0" fontId="5" fillId="0" borderId="0" xfId="2" applyNumberFormat="1" applyFont="1"/>
    <xf numFmtId="2" fontId="5" fillId="0" borderId="0" xfId="2" applyNumberFormat="1" applyFont="1"/>
  </cellXfs>
  <cellStyles count="3">
    <cellStyle name="Normal" xfId="0" builtinId="0"/>
    <cellStyle name="Normal 2" xfId="2" xr:uid="{E96256A2-76CF-4E9E-ADB7-DE8A3DE541DC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Sheet1!$B$3:$B$13</c:f>
              <c:numCache>
                <c:formatCode>General</c:formatCode>
                <c:ptCount val="11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</c:numCache>
            </c:numRef>
          </c:cat>
          <c:val>
            <c:numRef>
              <c:f>Sheet1!$C$3:$C$13</c:f>
              <c:numCache>
                <c:formatCode>0.00</c:formatCode>
                <c:ptCount val="11"/>
                <c:pt idx="0" formatCode="General">
                  <c:v>5651.5</c:v>
                </c:pt>
                <c:pt idx="1">
                  <c:v>4987.3100000000004</c:v>
                </c:pt>
                <c:pt idx="2" formatCode="General">
                  <c:v>7129.21</c:v>
                </c:pt>
                <c:pt idx="3" formatCode="General">
                  <c:v>5308.26</c:v>
                </c:pt>
                <c:pt idx="4" formatCode="General">
                  <c:v>5378.56</c:v>
                </c:pt>
                <c:pt idx="5">
                  <c:v>5166.1000000000004</c:v>
                </c:pt>
                <c:pt idx="6" formatCode="General">
                  <c:v>4870.46</c:v>
                </c:pt>
                <c:pt idx="7" formatCode="General">
                  <c:v>3621.42</c:v>
                </c:pt>
                <c:pt idx="8" formatCode="General">
                  <c:v>4380.2700000000004</c:v>
                </c:pt>
                <c:pt idx="9" formatCode="General">
                  <c:v>4921.9799999999996</c:v>
                </c:pt>
                <c:pt idx="10" formatCode="General">
                  <c:v>5382.91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D3-4F4D-9B5B-0EBC9744B1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3524032"/>
        <c:axId val="325824816"/>
      </c:lineChart>
      <c:catAx>
        <c:axId val="2133524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5824816"/>
        <c:crosses val="autoZero"/>
        <c:auto val="1"/>
        <c:lblAlgn val="ctr"/>
        <c:lblOffset val="100"/>
        <c:noMultiLvlLbl val="0"/>
      </c:catAx>
      <c:valAx>
        <c:axId val="325824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524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Sheet2!$C$2</c:f>
              <c:strCache>
                <c:ptCount val="1"/>
                <c:pt idx="0">
                  <c:v>Total Ingresos Tributarios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Sheet2!$B$3:$B$31</c:f>
              <c:numCache>
                <c:formatCode>General</c:formatCode>
                <c:ptCount val="29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</c:numCache>
            </c:numRef>
          </c:cat>
          <c:val>
            <c:numRef>
              <c:f>Sheet2!$C$3:$C$31</c:f>
              <c:numCache>
                <c:formatCode>General</c:formatCode>
                <c:ptCount val="29"/>
                <c:pt idx="0">
                  <c:v>73110.046000000002</c:v>
                </c:pt>
                <c:pt idx="1">
                  <c:v>76115.074999999997</c:v>
                </c:pt>
                <c:pt idx="2">
                  <c:v>85607.142999999996</c:v>
                </c:pt>
                <c:pt idx="3">
                  <c:v>91596.698999999993</c:v>
                </c:pt>
                <c:pt idx="4">
                  <c:v>99967.751999999993</c:v>
                </c:pt>
                <c:pt idx="5">
                  <c:v>107764.213</c:v>
                </c:pt>
                <c:pt idx="6">
                  <c:v>114551.77099999999</c:v>
                </c:pt>
                <c:pt idx="7">
                  <c:v>123143.705</c:v>
                </c:pt>
                <c:pt idx="8">
                  <c:v>130176.228</c:v>
                </c:pt>
                <c:pt idx="9">
                  <c:v>140853.745</c:v>
                </c:pt>
                <c:pt idx="10">
                  <c:v>160704.75899999999</c:v>
                </c:pt>
                <c:pt idx="11">
                  <c:v>179379.55</c:v>
                </c:pt>
                <c:pt idx="12">
                  <c:v>200676.02999999997</c:v>
                </c:pt>
                <c:pt idx="13">
                  <c:v>173453.315</c:v>
                </c:pt>
                <c:pt idx="14">
                  <c:v>144023.40100000001</c:v>
                </c:pt>
                <c:pt idx="15">
                  <c:v>159536.23699999999</c:v>
                </c:pt>
                <c:pt idx="16">
                  <c:v>161759.99400000001</c:v>
                </c:pt>
                <c:pt idx="17">
                  <c:v>168566.58199999999</c:v>
                </c:pt>
                <c:pt idx="18">
                  <c:v>168847.37299999996</c:v>
                </c:pt>
                <c:pt idx="19">
                  <c:v>174987.34099999999</c:v>
                </c:pt>
                <c:pt idx="20">
                  <c:v>182008.64200000002</c:v>
                </c:pt>
                <c:pt idx="21">
                  <c:v>186248.52</c:v>
                </c:pt>
                <c:pt idx="22">
                  <c:v>193950.54899999997</c:v>
                </c:pt>
                <c:pt idx="23">
                  <c:v>208684.96500000003</c:v>
                </c:pt>
                <c:pt idx="24">
                  <c:v>212807.546</c:v>
                </c:pt>
                <c:pt idx="25">
                  <c:v>194050.63800000001</c:v>
                </c:pt>
                <c:pt idx="26">
                  <c:v>223384.80600000001</c:v>
                </c:pt>
                <c:pt idx="27">
                  <c:v>255463.43699999998</c:v>
                </c:pt>
                <c:pt idx="28">
                  <c:v>271935.07500000001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40-45ED-BC9F-8E6E9A32EB0A}"/>
            </c:ext>
          </c:extLst>
        </c:ser>
        <c:ser>
          <c:idx val="1"/>
          <c:order val="1"/>
          <c:tx>
            <c:strRef>
              <c:f>Sheet2!$D$2</c:f>
              <c:strCache>
                <c:ptCount val="1"/>
                <c:pt idx="0">
                  <c:v>PIB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Sheet2!$D$3:$D$31</c:f>
              <c:numCache>
                <c:formatCode>General</c:formatCode>
                <c:ptCount val="29"/>
                <c:pt idx="0">
                  <c:v>459337</c:v>
                </c:pt>
                <c:pt idx="1">
                  <c:v>488946</c:v>
                </c:pt>
                <c:pt idx="2">
                  <c:v>518971</c:v>
                </c:pt>
                <c:pt idx="3">
                  <c:v>555559</c:v>
                </c:pt>
                <c:pt idx="4">
                  <c:v>595242</c:v>
                </c:pt>
                <c:pt idx="5">
                  <c:v>647569</c:v>
                </c:pt>
                <c:pt idx="6">
                  <c:v>700958</c:v>
                </c:pt>
                <c:pt idx="7">
                  <c:v>749744</c:v>
                </c:pt>
                <c:pt idx="8">
                  <c:v>802683</c:v>
                </c:pt>
                <c:pt idx="9">
                  <c:v>860059</c:v>
                </c:pt>
                <c:pt idx="10">
                  <c:v>928122</c:v>
                </c:pt>
                <c:pt idx="11">
                  <c:v>1004976</c:v>
                </c:pt>
                <c:pt idx="12">
                  <c:v>1077541</c:v>
                </c:pt>
                <c:pt idx="13">
                  <c:v>1112432</c:v>
                </c:pt>
                <c:pt idx="14">
                  <c:v>1072990</c:v>
                </c:pt>
                <c:pt idx="15">
                  <c:v>1077145</c:v>
                </c:pt>
                <c:pt idx="16">
                  <c:v>1068690</c:v>
                </c:pt>
                <c:pt idx="17">
                  <c:v>1035964</c:v>
                </c:pt>
                <c:pt idx="18">
                  <c:v>1025652</c:v>
                </c:pt>
                <c:pt idx="19">
                  <c:v>1038949</c:v>
                </c:pt>
                <c:pt idx="20">
                  <c:v>1087112</c:v>
                </c:pt>
                <c:pt idx="21">
                  <c:v>1122967</c:v>
                </c:pt>
                <c:pt idx="22">
                  <c:v>1170024</c:v>
                </c:pt>
                <c:pt idx="23">
                  <c:v>1212276</c:v>
                </c:pt>
                <c:pt idx="24">
                  <c:v>1253710</c:v>
                </c:pt>
                <c:pt idx="25">
                  <c:v>1129214</c:v>
                </c:pt>
                <c:pt idx="26">
                  <c:v>1235474</c:v>
                </c:pt>
                <c:pt idx="27">
                  <c:v>1373629</c:v>
                </c:pt>
                <c:pt idx="28">
                  <c:v>1498324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F40-45ED-BC9F-8E6E9A32E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587024"/>
        <c:axId val="143588464"/>
      </c:lineChart>
      <c:catAx>
        <c:axId val="14358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588464"/>
        <c:crosses val="autoZero"/>
        <c:auto val="1"/>
        <c:lblAlgn val="ctr"/>
        <c:lblOffset val="100"/>
        <c:noMultiLvlLbl val="0"/>
      </c:catAx>
      <c:valAx>
        <c:axId val="14358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587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Sheet2!$C$2</c:f>
              <c:strCache>
                <c:ptCount val="1"/>
                <c:pt idx="0">
                  <c:v>Total Ingresos Tributarios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Sheet2!$B$3:$B$31</c:f>
              <c:numCache>
                <c:formatCode>General</c:formatCode>
                <c:ptCount val="29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</c:numCache>
            </c:numRef>
          </c:cat>
          <c:val>
            <c:numRef>
              <c:f>Sheet2!$C$3:$C$31</c:f>
              <c:numCache>
                <c:formatCode>General</c:formatCode>
                <c:ptCount val="29"/>
                <c:pt idx="0">
                  <c:v>73110.046000000002</c:v>
                </c:pt>
                <c:pt idx="1">
                  <c:v>76115.074999999997</c:v>
                </c:pt>
                <c:pt idx="2">
                  <c:v>85607.142999999996</c:v>
                </c:pt>
                <c:pt idx="3">
                  <c:v>91596.698999999993</c:v>
                </c:pt>
                <c:pt idx="4">
                  <c:v>99967.751999999993</c:v>
                </c:pt>
                <c:pt idx="5">
                  <c:v>107764.213</c:v>
                </c:pt>
                <c:pt idx="6">
                  <c:v>114551.77099999999</c:v>
                </c:pt>
                <c:pt idx="7">
                  <c:v>123143.705</c:v>
                </c:pt>
                <c:pt idx="8">
                  <c:v>130176.228</c:v>
                </c:pt>
                <c:pt idx="9">
                  <c:v>140853.745</c:v>
                </c:pt>
                <c:pt idx="10">
                  <c:v>160704.75899999999</c:v>
                </c:pt>
                <c:pt idx="11">
                  <c:v>179379.55</c:v>
                </c:pt>
                <c:pt idx="12">
                  <c:v>200676.02999999997</c:v>
                </c:pt>
                <c:pt idx="13">
                  <c:v>173453.315</c:v>
                </c:pt>
                <c:pt idx="14">
                  <c:v>144023.40100000001</c:v>
                </c:pt>
                <c:pt idx="15">
                  <c:v>159536.23699999999</c:v>
                </c:pt>
                <c:pt idx="16">
                  <c:v>161759.99400000001</c:v>
                </c:pt>
                <c:pt idx="17">
                  <c:v>168566.58199999999</c:v>
                </c:pt>
                <c:pt idx="18">
                  <c:v>168847.37299999996</c:v>
                </c:pt>
                <c:pt idx="19">
                  <c:v>174987.34099999999</c:v>
                </c:pt>
                <c:pt idx="20">
                  <c:v>182008.64200000002</c:v>
                </c:pt>
                <c:pt idx="21">
                  <c:v>186248.52</c:v>
                </c:pt>
                <c:pt idx="22">
                  <c:v>193950.54899999997</c:v>
                </c:pt>
                <c:pt idx="23">
                  <c:v>208684.96500000003</c:v>
                </c:pt>
                <c:pt idx="24">
                  <c:v>212807.546</c:v>
                </c:pt>
                <c:pt idx="25">
                  <c:v>194050.63800000001</c:v>
                </c:pt>
                <c:pt idx="26">
                  <c:v>223384.80600000001</c:v>
                </c:pt>
                <c:pt idx="27">
                  <c:v>255463.43699999998</c:v>
                </c:pt>
                <c:pt idx="28">
                  <c:v>271935.07500000001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8C-43EE-B798-F9E1EB90E3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587024"/>
        <c:axId val="143588464"/>
      </c:lineChart>
      <c:catAx>
        <c:axId val="14358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588464"/>
        <c:crosses val="autoZero"/>
        <c:auto val="1"/>
        <c:lblAlgn val="ctr"/>
        <c:lblOffset val="100"/>
        <c:noMultiLvlLbl val="0"/>
      </c:catAx>
      <c:valAx>
        <c:axId val="14358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587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Sheet2!$D$2</c:f>
              <c:strCache>
                <c:ptCount val="1"/>
                <c:pt idx="0">
                  <c:v>PIB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Sheet2!$D$3:$D$31</c:f>
              <c:numCache>
                <c:formatCode>General</c:formatCode>
                <c:ptCount val="29"/>
                <c:pt idx="0">
                  <c:v>459337</c:v>
                </c:pt>
                <c:pt idx="1">
                  <c:v>488946</c:v>
                </c:pt>
                <c:pt idx="2">
                  <c:v>518971</c:v>
                </c:pt>
                <c:pt idx="3">
                  <c:v>555559</c:v>
                </c:pt>
                <c:pt idx="4">
                  <c:v>595242</c:v>
                </c:pt>
                <c:pt idx="5">
                  <c:v>647569</c:v>
                </c:pt>
                <c:pt idx="6">
                  <c:v>700958</c:v>
                </c:pt>
                <c:pt idx="7">
                  <c:v>749744</c:v>
                </c:pt>
                <c:pt idx="8">
                  <c:v>802683</c:v>
                </c:pt>
                <c:pt idx="9">
                  <c:v>860059</c:v>
                </c:pt>
                <c:pt idx="10">
                  <c:v>928122</c:v>
                </c:pt>
                <c:pt idx="11">
                  <c:v>1004976</c:v>
                </c:pt>
                <c:pt idx="12">
                  <c:v>1077541</c:v>
                </c:pt>
                <c:pt idx="13">
                  <c:v>1112432</c:v>
                </c:pt>
                <c:pt idx="14">
                  <c:v>1072990</c:v>
                </c:pt>
                <c:pt idx="15">
                  <c:v>1077145</c:v>
                </c:pt>
                <c:pt idx="16">
                  <c:v>1068690</c:v>
                </c:pt>
                <c:pt idx="17">
                  <c:v>1035964</c:v>
                </c:pt>
                <c:pt idx="18">
                  <c:v>1025652</c:v>
                </c:pt>
                <c:pt idx="19">
                  <c:v>1038949</c:v>
                </c:pt>
                <c:pt idx="20">
                  <c:v>1087112</c:v>
                </c:pt>
                <c:pt idx="21">
                  <c:v>1122967</c:v>
                </c:pt>
                <c:pt idx="22">
                  <c:v>1170024</c:v>
                </c:pt>
                <c:pt idx="23">
                  <c:v>1212276</c:v>
                </c:pt>
                <c:pt idx="24">
                  <c:v>1253710</c:v>
                </c:pt>
                <c:pt idx="25">
                  <c:v>1129214</c:v>
                </c:pt>
                <c:pt idx="26">
                  <c:v>1235474</c:v>
                </c:pt>
                <c:pt idx="27">
                  <c:v>1373629</c:v>
                </c:pt>
                <c:pt idx="28">
                  <c:v>1498324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50-4ECF-ABC4-7EA75DB841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587024"/>
        <c:axId val="143588464"/>
      </c:lineChart>
      <c:catAx>
        <c:axId val="14358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588464"/>
        <c:crosses val="autoZero"/>
        <c:auto val="1"/>
        <c:lblAlgn val="ctr"/>
        <c:lblOffset val="100"/>
        <c:noMultiLvlLbl val="0"/>
      </c:catAx>
      <c:valAx>
        <c:axId val="14358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587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280987</xdr:colOff>
      <xdr:row>10</xdr:row>
      <xdr:rowOff>71437</xdr:rowOff>
    </xdr:from>
    <xdr:to>
      <xdr:col>16</xdr:col>
      <xdr:colOff>252412</xdr:colOff>
      <xdr:row>25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3D3100-760A-1278-70F5-D187690495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627062</xdr:colOff>
      <xdr:row>12</xdr:row>
      <xdr:rowOff>134937</xdr:rowOff>
    </xdr:from>
    <xdr:to>
      <xdr:col>24</xdr:col>
      <xdr:colOff>592137</xdr:colOff>
      <xdr:row>27</xdr:row>
      <xdr:rowOff>169862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7AC151-B8CA-DE8D-78C8-E0F04CBF6E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415925</xdr:colOff>
      <xdr:row>26</xdr:row>
      <xdr:rowOff>38100</xdr:rowOff>
    </xdr:from>
    <xdr:to>
      <xdr:col>16</xdr:col>
      <xdr:colOff>377825</xdr:colOff>
      <xdr:row>41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1F645E8-92CC-4706-A476-329B1CC269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419100</xdr:colOff>
      <xdr:row>10</xdr:row>
      <xdr:rowOff>85725</xdr:rowOff>
    </xdr:from>
    <xdr:to>
      <xdr:col>16</xdr:col>
      <xdr:colOff>381000</xdr:colOff>
      <xdr:row>25</xdr:row>
      <xdr:rowOff>130175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D7FD65E-A596-437D-AC1D-4921E794B0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EA3C8-E8D7-44F2-B034-F86BB980BB67}">
  <dimension ref="B2:D13"/>
  <sheetViews>
    <sheetView workbookViewId="0">
      <selection activeCell="C3" sqref="C3:C13"/>
    </sheetView>
  </sheetViews>
  <sheetFormatPr defaultRowHeight="14.5" x14ac:dyDescent="0.35"/>
  <cols>
    <col min="3" max="3" width="14.08203125" style="1" bestFit="1" customWidth="1"/>
  </cols>
  <sheetData>
    <row r="2" spans="2:4" x14ac:dyDescent="0.35">
      <c r="B2" t="s">
        <v>0</v>
      </c>
      <c r="C2" s="1" t="s">
        <v>1</v>
      </c>
      <c r="D2" t="s">
        <v>2</v>
      </c>
    </row>
    <row r="3" spans="2:4" x14ac:dyDescent="0.35">
      <c r="B3">
        <v>2013</v>
      </c>
      <c r="C3" s="1">
        <v>5651.5</v>
      </c>
    </row>
    <row r="4" spans="2:4" x14ac:dyDescent="0.35">
      <c r="B4">
        <v>2014</v>
      </c>
      <c r="C4" s="2">
        <v>4987.3100000000004</v>
      </c>
    </row>
    <row r="5" spans="2:4" x14ac:dyDescent="0.35">
      <c r="B5">
        <v>2015</v>
      </c>
      <c r="C5" s="1">
        <v>7129.21</v>
      </c>
    </row>
    <row r="6" spans="2:4" x14ac:dyDescent="0.35">
      <c r="B6">
        <v>2016</v>
      </c>
      <c r="C6" s="1">
        <v>5308.26</v>
      </c>
    </row>
    <row r="7" spans="2:4" x14ac:dyDescent="0.35">
      <c r="B7">
        <v>2017</v>
      </c>
      <c r="C7" s="1">
        <v>5378.56</v>
      </c>
    </row>
    <row r="8" spans="2:4" x14ac:dyDescent="0.35">
      <c r="B8">
        <v>2018</v>
      </c>
      <c r="C8" s="2">
        <v>5166.1000000000004</v>
      </c>
    </row>
    <row r="9" spans="2:4" x14ac:dyDescent="0.35">
      <c r="B9">
        <v>2019</v>
      </c>
      <c r="C9" s="1">
        <v>4870.46</v>
      </c>
    </row>
    <row r="10" spans="2:4" x14ac:dyDescent="0.35">
      <c r="B10">
        <v>2020</v>
      </c>
      <c r="C10" s="1">
        <v>3621.42</v>
      </c>
    </row>
    <row r="11" spans="2:4" x14ac:dyDescent="0.35">
      <c r="B11">
        <v>2021</v>
      </c>
      <c r="C11" s="1">
        <v>4380.2700000000004</v>
      </c>
    </row>
    <row r="12" spans="2:4" x14ac:dyDescent="0.35">
      <c r="B12">
        <v>2022</v>
      </c>
      <c r="C12" s="1">
        <v>4921.9799999999996</v>
      </c>
    </row>
    <row r="13" spans="2:4" x14ac:dyDescent="0.35">
      <c r="B13">
        <v>2023</v>
      </c>
      <c r="C13" s="1">
        <v>5382.91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28D80-6848-48A5-A8C1-BDEC012A4DCD}">
  <dimension ref="B1:AE32"/>
  <sheetViews>
    <sheetView tabSelected="1" topLeftCell="B10" workbookViewId="0">
      <selection activeCell="F2" sqref="F2"/>
    </sheetView>
  </sheetViews>
  <sheetFormatPr defaultRowHeight="14.5" x14ac:dyDescent="0.35"/>
  <cols>
    <col min="3" max="3" width="21.33203125" bestFit="1" customWidth="1"/>
    <col min="5" max="5" width="9.08203125" bestFit="1" customWidth="1"/>
    <col min="8" max="8" width="10.25" bestFit="1" customWidth="1"/>
  </cols>
  <sheetData>
    <row r="1" spans="2:31" x14ac:dyDescent="0.35">
      <c r="C1" t="s">
        <v>35</v>
      </c>
      <c r="F1" t="s">
        <v>39</v>
      </c>
    </row>
    <row r="2" spans="2:31" x14ac:dyDescent="0.35">
      <c r="B2" t="s">
        <v>0</v>
      </c>
      <c r="C2" t="s">
        <v>3</v>
      </c>
      <c r="D2" t="s">
        <v>34</v>
      </c>
      <c r="F2" t="s">
        <v>36</v>
      </c>
      <c r="G2" t="s">
        <v>37</v>
      </c>
      <c r="H2" t="s">
        <v>38</v>
      </c>
    </row>
    <row r="3" spans="2:31" x14ac:dyDescent="0.35">
      <c r="B3">
        <v>1995</v>
      </c>
      <c r="C3">
        <v>73110.046000000002</v>
      </c>
      <c r="D3" s="5">
        <v>459337</v>
      </c>
      <c r="F3" s="7">
        <f>0.2*D3</f>
        <v>91867.400000000009</v>
      </c>
      <c r="G3" s="6">
        <f>C3/D3</f>
        <v>0.15916428678726077</v>
      </c>
      <c r="H3" s="8">
        <f>G3*F3</f>
        <v>14622.009200000002</v>
      </c>
      <c r="I3" s="3"/>
      <c r="J3" s="3"/>
      <c r="K3" s="3"/>
      <c r="L3" s="3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 spans="2:31" x14ac:dyDescent="0.35">
      <c r="B4">
        <v>1996</v>
      </c>
      <c r="C4">
        <v>76115.074999999997</v>
      </c>
      <c r="D4" s="5">
        <v>488946</v>
      </c>
      <c r="F4" s="7">
        <f>0.2*D4</f>
        <v>97789.200000000012</v>
      </c>
      <c r="G4" s="6">
        <f>C4/D4</f>
        <v>0.15567174084663746</v>
      </c>
      <c r="H4" s="8">
        <f t="shared" ref="H4:H31" si="0">G4*F4</f>
        <v>15223.015000000001</v>
      </c>
    </row>
    <row r="5" spans="2:31" x14ac:dyDescent="0.35">
      <c r="B5">
        <v>1997</v>
      </c>
      <c r="C5">
        <v>85607.142999999996</v>
      </c>
      <c r="D5" s="5">
        <v>518971</v>
      </c>
      <c r="F5" s="7">
        <f>0.2*D5</f>
        <v>103794.20000000001</v>
      </c>
      <c r="G5" s="6">
        <f>C5/D5</f>
        <v>0.16495554279526214</v>
      </c>
      <c r="H5" s="8">
        <f t="shared" si="0"/>
        <v>17121.428599999999</v>
      </c>
    </row>
    <row r="6" spans="2:31" x14ac:dyDescent="0.35">
      <c r="B6">
        <v>1998</v>
      </c>
      <c r="C6">
        <v>91596.698999999993</v>
      </c>
      <c r="D6" s="5">
        <v>555559</v>
      </c>
      <c r="F6" s="7">
        <f>0.2*D6</f>
        <v>111111.8</v>
      </c>
      <c r="G6" s="6">
        <f>C6/D6</f>
        <v>0.16487303598717687</v>
      </c>
      <c r="H6" s="8">
        <f t="shared" si="0"/>
        <v>18319.339799999998</v>
      </c>
    </row>
    <row r="7" spans="2:31" x14ac:dyDescent="0.35">
      <c r="B7">
        <v>1999</v>
      </c>
      <c r="C7">
        <v>99967.751999999993</v>
      </c>
      <c r="D7" s="5">
        <v>595242</v>
      </c>
      <c r="F7" s="7">
        <f>0.2*D7</f>
        <v>119048.40000000001</v>
      </c>
      <c r="G7" s="6">
        <f>C7/D7</f>
        <v>0.167944721642626</v>
      </c>
      <c r="H7" s="8">
        <f t="shared" si="0"/>
        <v>19993.5504</v>
      </c>
    </row>
    <row r="8" spans="2:31" x14ac:dyDescent="0.35">
      <c r="B8">
        <v>2000</v>
      </c>
      <c r="C8">
        <v>107764.213</v>
      </c>
      <c r="D8" s="5">
        <v>647569</v>
      </c>
      <c r="F8" s="7">
        <f>0.2*D8</f>
        <v>129513.8</v>
      </c>
      <c r="G8" s="6">
        <f>C8/D8</f>
        <v>0.16641348335080897</v>
      </c>
      <c r="H8" s="8">
        <f t="shared" si="0"/>
        <v>21552.842600000004</v>
      </c>
    </row>
    <row r="9" spans="2:31" x14ac:dyDescent="0.35">
      <c r="B9">
        <v>2001</v>
      </c>
      <c r="C9">
        <v>114551.77099999999</v>
      </c>
      <c r="D9" s="5">
        <v>700958</v>
      </c>
      <c r="F9" s="7">
        <f>0.2*D9</f>
        <v>140191.6</v>
      </c>
      <c r="G9" s="6">
        <f>C9/D9</f>
        <v>0.16342173282850042</v>
      </c>
      <c r="H9" s="8">
        <f t="shared" si="0"/>
        <v>22910.354200000002</v>
      </c>
    </row>
    <row r="10" spans="2:31" x14ac:dyDescent="0.35">
      <c r="B10">
        <v>2002</v>
      </c>
      <c r="C10">
        <v>123143.705</v>
      </c>
      <c r="D10" s="5">
        <v>749744</v>
      </c>
      <c r="F10" s="7">
        <f>0.2*D10</f>
        <v>149948.80000000002</v>
      </c>
      <c r="G10" s="6">
        <f>C10/D10</f>
        <v>0.16424766987131609</v>
      </c>
      <c r="H10" s="8">
        <f t="shared" si="0"/>
        <v>24628.741000000005</v>
      </c>
    </row>
    <row r="11" spans="2:31" x14ac:dyDescent="0.35">
      <c r="B11">
        <v>2003</v>
      </c>
      <c r="C11">
        <v>130176.228</v>
      </c>
      <c r="D11" s="5">
        <v>802683</v>
      </c>
      <c r="F11" s="7">
        <f>0.2*D11</f>
        <v>160536.6</v>
      </c>
      <c r="G11" s="6">
        <f>C11/D11</f>
        <v>0.16217638594563483</v>
      </c>
      <c r="H11" s="8">
        <f t="shared" si="0"/>
        <v>26035.245600000002</v>
      </c>
    </row>
    <row r="12" spans="2:31" x14ac:dyDescent="0.35">
      <c r="B12">
        <v>2004</v>
      </c>
      <c r="C12">
        <v>140853.745</v>
      </c>
      <c r="D12" s="5">
        <v>860059</v>
      </c>
      <c r="F12" s="7">
        <f>0.2*D12</f>
        <v>172011.80000000002</v>
      </c>
      <c r="G12" s="6">
        <f>C12/D12</f>
        <v>0.16377218888471604</v>
      </c>
      <c r="H12" s="8">
        <f t="shared" si="0"/>
        <v>28170.749</v>
      </c>
    </row>
    <row r="13" spans="2:31" x14ac:dyDescent="0.35">
      <c r="B13">
        <v>2005</v>
      </c>
      <c r="C13">
        <v>160704.75899999999</v>
      </c>
      <c r="D13" s="5">
        <v>928122</v>
      </c>
      <c r="F13" s="7">
        <f>0.2*D13</f>
        <v>185624.40000000002</v>
      </c>
      <c r="G13" s="6">
        <f>C13/D13</f>
        <v>0.17315046836515027</v>
      </c>
      <c r="H13" s="8">
        <f t="shared" si="0"/>
        <v>32140.951800000003</v>
      </c>
    </row>
    <row r="14" spans="2:31" x14ac:dyDescent="0.35">
      <c r="B14">
        <v>2006</v>
      </c>
      <c r="C14">
        <v>179379.55</v>
      </c>
      <c r="D14" s="5">
        <v>1004976</v>
      </c>
      <c r="F14" s="7">
        <f>0.2*D14</f>
        <v>200995.20000000001</v>
      </c>
      <c r="G14" s="6">
        <f>C14/D14</f>
        <v>0.17849137690850328</v>
      </c>
      <c r="H14" s="8">
        <f t="shared" si="0"/>
        <v>35875.910000000003</v>
      </c>
    </row>
    <row r="15" spans="2:31" x14ac:dyDescent="0.35">
      <c r="B15">
        <v>2007</v>
      </c>
      <c r="C15">
        <v>200676.02999999997</v>
      </c>
      <c r="D15" s="5">
        <v>1077541</v>
      </c>
      <c r="F15" s="7">
        <f>0.2*D15</f>
        <v>215508.2</v>
      </c>
      <c r="G15" s="6">
        <f>C15/D15</f>
        <v>0.18623516877780052</v>
      </c>
      <c r="H15" s="8">
        <f t="shared" si="0"/>
        <v>40135.205999999991</v>
      </c>
    </row>
    <row r="16" spans="2:31" x14ac:dyDescent="0.35">
      <c r="B16">
        <v>2008</v>
      </c>
      <c r="C16">
        <v>173453.315</v>
      </c>
      <c r="D16" s="5">
        <v>1112432</v>
      </c>
      <c r="F16" s="7">
        <f>0.2*D16</f>
        <v>222486.40000000002</v>
      </c>
      <c r="G16" s="6">
        <f>C16/D16</f>
        <v>0.1559226226861507</v>
      </c>
      <c r="H16" s="8">
        <f t="shared" si="0"/>
        <v>34690.663</v>
      </c>
    </row>
    <row r="17" spans="2:8" x14ac:dyDescent="0.35">
      <c r="B17">
        <v>2009</v>
      </c>
      <c r="C17">
        <v>144023.40100000001</v>
      </c>
      <c r="D17" s="5">
        <v>1072990</v>
      </c>
      <c r="F17" s="7">
        <f>0.2*D17</f>
        <v>214598</v>
      </c>
      <c r="G17" s="6">
        <f>C17/D17</f>
        <v>0.1342262285762216</v>
      </c>
      <c r="H17" s="8">
        <f t="shared" si="0"/>
        <v>28804.680200000003</v>
      </c>
    </row>
    <row r="18" spans="2:8" x14ac:dyDescent="0.35">
      <c r="B18">
        <v>2010</v>
      </c>
      <c r="C18">
        <v>159536.23699999999</v>
      </c>
      <c r="D18" s="5">
        <v>1077145</v>
      </c>
      <c r="F18" s="7">
        <f>0.2*D18</f>
        <v>215429</v>
      </c>
      <c r="G18" s="6">
        <f>C18/D18</f>
        <v>0.14811027020503273</v>
      </c>
      <c r="H18" s="8">
        <f t="shared" si="0"/>
        <v>31907.247399999997</v>
      </c>
    </row>
    <row r="19" spans="2:8" x14ac:dyDescent="0.35">
      <c r="B19">
        <v>2011</v>
      </c>
      <c r="C19">
        <v>161759.99400000001</v>
      </c>
      <c r="D19" s="5">
        <v>1068690</v>
      </c>
      <c r="F19" s="7">
        <f>0.2*D19</f>
        <v>213738</v>
      </c>
      <c r="G19" s="6">
        <f>C19/D19</f>
        <v>0.15136287791595318</v>
      </c>
      <c r="H19" s="8">
        <f t="shared" si="0"/>
        <v>32351.998800000001</v>
      </c>
    </row>
    <row r="20" spans="2:8" x14ac:dyDescent="0.35">
      <c r="B20">
        <v>2012</v>
      </c>
      <c r="C20">
        <v>168566.58199999999</v>
      </c>
      <c r="D20" s="5">
        <v>1035964</v>
      </c>
      <c r="F20" s="7">
        <f>0.2*D20</f>
        <v>207192.80000000002</v>
      </c>
      <c r="G20" s="6">
        <f>C20/D20</f>
        <v>0.16271471016367364</v>
      </c>
      <c r="H20" s="8">
        <f t="shared" si="0"/>
        <v>33713.316400000003</v>
      </c>
    </row>
    <row r="21" spans="2:8" x14ac:dyDescent="0.35">
      <c r="B21">
        <v>2013</v>
      </c>
      <c r="C21">
        <v>168847.37299999996</v>
      </c>
      <c r="D21" s="5">
        <v>1025652</v>
      </c>
      <c r="F21" s="7">
        <f>0.2*D21</f>
        <v>205130.40000000002</v>
      </c>
      <c r="G21" s="6">
        <f>C21/D21</f>
        <v>0.16462442719362899</v>
      </c>
      <c r="H21" s="8">
        <f t="shared" si="0"/>
        <v>33769.474599999994</v>
      </c>
    </row>
    <row r="22" spans="2:8" x14ac:dyDescent="0.35">
      <c r="B22">
        <v>2014</v>
      </c>
      <c r="C22">
        <v>174987.34099999999</v>
      </c>
      <c r="D22" s="5">
        <v>1038949</v>
      </c>
      <c r="F22" s="7">
        <f>0.2*D22</f>
        <v>207789.80000000002</v>
      </c>
      <c r="G22" s="6">
        <f>C22/D22</f>
        <v>0.16842726736346056</v>
      </c>
      <c r="H22" s="8">
        <f t="shared" si="0"/>
        <v>34997.468200000003</v>
      </c>
    </row>
    <row r="23" spans="2:8" x14ac:dyDescent="0.35">
      <c r="B23">
        <v>2015</v>
      </c>
      <c r="C23">
        <v>182008.64200000002</v>
      </c>
      <c r="D23" s="5">
        <v>1087112</v>
      </c>
      <c r="F23" s="7">
        <f>0.2*D23</f>
        <v>217422.40000000002</v>
      </c>
      <c r="G23" s="6">
        <f>C23/D23</f>
        <v>0.1674240023107095</v>
      </c>
      <c r="H23" s="8">
        <f t="shared" si="0"/>
        <v>36401.728400000007</v>
      </c>
    </row>
    <row r="24" spans="2:8" x14ac:dyDescent="0.35">
      <c r="B24">
        <v>2016</v>
      </c>
      <c r="C24">
        <v>186248.52</v>
      </c>
      <c r="D24" s="5">
        <v>1122967</v>
      </c>
      <c r="F24" s="7">
        <f>0.2*D24</f>
        <v>224593.40000000002</v>
      </c>
      <c r="G24" s="6">
        <f>C24/D24</f>
        <v>0.16585395652766288</v>
      </c>
      <c r="H24" s="8">
        <f t="shared" si="0"/>
        <v>37249.704000000005</v>
      </c>
    </row>
    <row r="25" spans="2:8" x14ac:dyDescent="0.35">
      <c r="B25">
        <v>2017</v>
      </c>
      <c r="C25">
        <v>193950.54899999997</v>
      </c>
      <c r="D25" s="5">
        <v>1170024</v>
      </c>
      <c r="F25" s="7">
        <f>0.2*D25</f>
        <v>234004.80000000002</v>
      </c>
      <c r="G25" s="6">
        <f>C25/D25</f>
        <v>0.16576629966564785</v>
      </c>
      <c r="H25" s="8">
        <f t="shared" si="0"/>
        <v>38790.109799999991</v>
      </c>
    </row>
    <row r="26" spans="2:8" x14ac:dyDescent="0.35">
      <c r="B26">
        <v>2018</v>
      </c>
      <c r="C26">
        <v>208684.96500000003</v>
      </c>
      <c r="D26" s="5">
        <v>1212276</v>
      </c>
      <c r="F26" s="7">
        <f>0.2*D26</f>
        <v>242455.2</v>
      </c>
      <c r="G26" s="6">
        <f>C26/D26</f>
        <v>0.17214311344941252</v>
      </c>
      <c r="H26" s="8">
        <f t="shared" si="0"/>
        <v>41736.993000000002</v>
      </c>
    </row>
    <row r="27" spans="2:8" x14ac:dyDescent="0.35">
      <c r="B27">
        <v>2019</v>
      </c>
      <c r="C27">
        <v>212807.546</v>
      </c>
      <c r="D27" s="5">
        <v>1253710</v>
      </c>
      <c r="F27" s="7">
        <f>0.2*D27</f>
        <v>250742</v>
      </c>
      <c r="G27" s="6">
        <f>C27/D27</f>
        <v>0.16974224182625966</v>
      </c>
      <c r="H27" s="8">
        <f t="shared" si="0"/>
        <v>42561.5092</v>
      </c>
    </row>
    <row r="28" spans="2:8" x14ac:dyDescent="0.35">
      <c r="B28">
        <v>2020</v>
      </c>
      <c r="C28">
        <v>194050.63800000001</v>
      </c>
      <c r="D28" s="5">
        <v>1129214</v>
      </c>
      <c r="F28" s="7">
        <f>0.2*D28</f>
        <v>225842.80000000002</v>
      </c>
      <c r="G28" s="6">
        <f>C28/D28</f>
        <v>0.17184575997109494</v>
      </c>
      <c r="H28" s="8">
        <f t="shared" si="0"/>
        <v>38810.127600000007</v>
      </c>
    </row>
    <row r="29" spans="2:8" x14ac:dyDescent="0.35">
      <c r="B29">
        <v>2021</v>
      </c>
      <c r="C29">
        <v>223384.80600000001</v>
      </c>
      <c r="D29" s="5">
        <v>1235474</v>
      </c>
      <c r="F29" s="7">
        <f>0.2*D29</f>
        <v>247094.80000000002</v>
      </c>
      <c r="G29" s="6">
        <f>C29/D29</f>
        <v>0.18080898990994551</v>
      </c>
      <c r="H29" s="8">
        <f t="shared" si="0"/>
        <v>44676.961200000005</v>
      </c>
    </row>
    <row r="30" spans="2:8" x14ac:dyDescent="0.35">
      <c r="B30">
        <v>2022</v>
      </c>
      <c r="C30">
        <v>255463.43699999998</v>
      </c>
      <c r="D30" s="5">
        <v>1373629</v>
      </c>
      <c r="F30" s="7">
        <f>0.2*D30</f>
        <v>274725.8</v>
      </c>
      <c r="G30" s="6">
        <f>C30/D30</f>
        <v>0.18597702654792522</v>
      </c>
      <c r="H30" s="8">
        <f t="shared" si="0"/>
        <v>51092.687399999995</v>
      </c>
    </row>
    <row r="31" spans="2:8" x14ac:dyDescent="0.35">
      <c r="B31">
        <v>2023</v>
      </c>
      <c r="C31">
        <v>271935.07500000001</v>
      </c>
      <c r="D31" s="5">
        <v>1498324</v>
      </c>
      <c r="F31" s="7">
        <f>0.2*D31</f>
        <v>299664.8</v>
      </c>
      <c r="G31" s="6">
        <f>C31/D31</f>
        <v>0.18149283799765606</v>
      </c>
      <c r="H31" s="8">
        <f t="shared" si="0"/>
        <v>54387.014999999999</v>
      </c>
    </row>
    <row r="32" spans="2:8" x14ac:dyDescent="0.35">
      <c r="D32" s="5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F6B73-D9BC-46E3-88CC-AD80777E922F}">
  <dimension ref="B2:G31"/>
  <sheetViews>
    <sheetView workbookViewId="0">
      <selection activeCell="D2" sqref="D2:D31"/>
    </sheetView>
  </sheetViews>
  <sheetFormatPr defaultRowHeight="14.5" x14ac:dyDescent="0.35"/>
  <cols>
    <col min="3" max="3" width="11.75" bestFit="1" customWidth="1"/>
  </cols>
  <sheetData>
    <row r="2" spans="2:7" x14ac:dyDescent="0.35">
      <c r="B2">
        <v>1995</v>
      </c>
      <c r="C2" t="s">
        <v>33</v>
      </c>
      <c r="D2" s="5">
        <v>459337</v>
      </c>
      <c r="G2" s="5"/>
    </row>
    <row r="3" spans="2:7" x14ac:dyDescent="0.35">
      <c r="B3">
        <v>1996</v>
      </c>
      <c r="C3" t="s">
        <v>32</v>
      </c>
      <c r="D3" s="5">
        <v>488946</v>
      </c>
      <c r="G3" s="5"/>
    </row>
    <row r="4" spans="2:7" x14ac:dyDescent="0.35">
      <c r="B4">
        <v>1997</v>
      </c>
      <c r="C4" t="s">
        <v>31</v>
      </c>
      <c r="D4" s="5">
        <v>518971</v>
      </c>
      <c r="G4" s="5"/>
    </row>
    <row r="5" spans="2:7" x14ac:dyDescent="0.35">
      <c r="B5">
        <v>1998</v>
      </c>
      <c r="C5" t="s">
        <v>30</v>
      </c>
      <c r="D5" s="5">
        <v>555559</v>
      </c>
      <c r="G5" s="5"/>
    </row>
    <row r="6" spans="2:7" x14ac:dyDescent="0.35">
      <c r="B6">
        <v>1999</v>
      </c>
      <c r="C6" t="s">
        <v>29</v>
      </c>
      <c r="D6" s="5">
        <v>595242</v>
      </c>
      <c r="G6" s="5"/>
    </row>
    <row r="7" spans="2:7" x14ac:dyDescent="0.35">
      <c r="B7">
        <v>2000</v>
      </c>
      <c r="C7" t="s">
        <v>28</v>
      </c>
      <c r="D7" s="5">
        <v>647569</v>
      </c>
      <c r="G7" s="5"/>
    </row>
    <row r="8" spans="2:7" x14ac:dyDescent="0.35">
      <c r="B8">
        <v>2001</v>
      </c>
      <c r="C8" t="s">
        <v>27</v>
      </c>
      <c r="D8" s="5">
        <v>700958</v>
      </c>
      <c r="G8" s="5"/>
    </row>
    <row r="9" spans="2:7" x14ac:dyDescent="0.35">
      <c r="B9">
        <v>2002</v>
      </c>
      <c r="C9" t="s">
        <v>26</v>
      </c>
      <c r="D9" s="5">
        <v>749744</v>
      </c>
      <c r="G9" s="5"/>
    </row>
    <row r="10" spans="2:7" x14ac:dyDescent="0.35">
      <c r="B10">
        <v>2003</v>
      </c>
      <c r="C10" t="s">
        <v>25</v>
      </c>
      <c r="D10" s="5">
        <v>802683</v>
      </c>
      <c r="G10" s="5"/>
    </row>
    <row r="11" spans="2:7" x14ac:dyDescent="0.35">
      <c r="B11">
        <v>2004</v>
      </c>
      <c r="C11" t="s">
        <v>24</v>
      </c>
      <c r="D11" s="5">
        <v>860059</v>
      </c>
      <c r="G11" s="5"/>
    </row>
    <row r="12" spans="2:7" x14ac:dyDescent="0.35">
      <c r="B12">
        <v>2005</v>
      </c>
      <c r="C12" t="s">
        <v>23</v>
      </c>
      <c r="D12" s="5">
        <v>928122</v>
      </c>
      <c r="G12" s="5"/>
    </row>
    <row r="13" spans="2:7" x14ac:dyDescent="0.35">
      <c r="B13">
        <v>2006</v>
      </c>
      <c r="C13" t="s">
        <v>22</v>
      </c>
      <c r="D13" s="5">
        <v>1004976</v>
      </c>
      <c r="G13" s="5"/>
    </row>
    <row r="14" spans="2:7" x14ac:dyDescent="0.35">
      <c r="B14">
        <v>2007</v>
      </c>
      <c r="C14" t="s">
        <v>21</v>
      </c>
      <c r="D14" s="5">
        <v>1077541</v>
      </c>
      <c r="G14" s="5"/>
    </row>
    <row r="15" spans="2:7" x14ac:dyDescent="0.35">
      <c r="B15">
        <v>2008</v>
      </c>
      <c r="C15" t="s">
        <v>20</v>
      </c>
      <c r="D15" s="5">
        <v>1112432</v>
      </c>
      <c r="G15" s="5"/>
    </row>
    <row r="16" spans="2:7" x14ac:dyDescent="0.35">
      <c r="B16">
        <v>2009</v>
      </c>
      <c r="C16" t="s">
        <v>19</v>
      </c>
      <c r="D16" s="5">
        <v>1072990</v>
      </c>
      <c r="G16" s="5"/>
    </row>
    <row r="17" spans="2:7" x14ac:dyDescent="0.35">
      <c r="B17">
        <v>2010</v>
      </c>
      <c r="C17" t="s">
        <v>18</v>
      </c>
      <c r="D17" s="5">
        <v>1077145</v>
      </c>
      <c r="G17" s="5"/>
    </row>
    <row r="18" spans="2:7" x14ac:dyDescent="0.35">
      <c r="B18">
        <v>2011</v>
      </c>
      <c r="C18" t="s">
        <v>17</v>
      </c>
      <c r="D18" s="5">
        <v>1068690</v>
      </c>
      <c r="G18" s="5"/>
    </row>
    <row r="19" spans="2:7" x14ac:dyDescent="0.35">
      <c r="B19">
        <v>2012</v>
      </c>
      <c r="C19" t="s">
        <v>16</v>
      </c>
      <c r="D19" s="5">
        <v>1035964</v>
      </c>
      <c r="G19" s="5"/>
    </row>
    <row r="20" spans="2:7" x14ac:dyDescent="0.35">
      <c r="B20">
        <v>2013</v>
      </c>
      <c r="C20" t="s">
        <v>15</v>
      </c>
      <c r="D20" s="5">
        <v>1025652</v>
      </c>
      <c r="G20" s="5"/>
    </row>
    <row r="21" spans="2:7" x14ac:dyDescent="0.35">
      <c r="B21">
        <v>2014</v>
      </c>
      <c r="C21" t="s">
        <v>14</v>
      </c>
      <c r="D21" s="5">
        <v>1038949</v>
      </c>
      <c r="G21" s="5"/>
    </row>
    <row r="22" spans="2:7" x14ac:dyDescent="0.35">
      <c r="B22">
        <v>2015</v>
      </c>
      <c r="C22" t="s">
        <v>13</v>
      </c>
      <c r="D22" s="5">
        <v>1087112</v>
      </c>
      <c r="G22" s="5"/>
    </row>
    <row r="23" spans="2:7" x14ac:dyDescent="0.35">
      <c r="B23">
        <v>2016</v>
      </c>
      <c r="C23" t="s">
        <v>12</v>
      </c>
      <c r="D23" s="5">
        <v>1122967</v>
      </c>
      <c r="G23" s="5"/>
    </row>
    <row r="24" spans="2:7" x14ac:dyDescent="0.35">
      <c r="B24">
        <v>2017</v>
      </c>
      <c r="C24" t="s">
        <v>11</v>
      </c>
      <c r="D24" s="5">
        <v>1170024</v>
      </c>
      <c r="G24" s="5"/>
    </row>
    <row r="25" spans="2:7" x14ac:dyDescent="0.35">
      <c r="B25">
        <v>2018</v>
      </c>
      <c r="C25" t="s">
        <v>10</v>
      </c>
      <c r="D25" s="5">
        <v>1212276</v>
      </c>
      <c r="G25" s="5"/>
    </row>
    <row r="26" spans="2:7" x14ac:dyDescent="0.35">
      <c r="B26">
        <v>2019</v>
      </c>
      <c r="C26" t="s">
        <v>9</v>
      </c>
      <c r="D26" s="5">
        <v>1253710</v>
      </c>
      <c r="G26" s="5"/>
    </row>
    <row r="27" spans="2:7" x14ac:dyDescent="0.35">
      <c r="B27">
        <v>2020</v>
      </c>
      <c r="C27" t="s">
        <v>8</v>
      </c>
      <c r="D27" s="5">
        <v>1129214</v>
      </c>
      <c r="G27" s="5"/>
    </row>
    <row r="28" spans="2:7" x14ac:dyDescent="0.35">
      <c r="B28">
        <v>2021</v>
      </c>
      <c r="C28" t="s">
        <v>7</v>
      </c>
      <c r="D28" s="5">
        <v>1235474</v>
      </c>
      <c r="G28" s="5"/>
    </row>
    <row r="29" spans="2:7" x14ac:dyDescent="0.35">
      <c r="B29">
        <v>2022</v>
      </c>
      <c r="C29" t="s">
        <v>6</v>
      </c>
      <c r="D29" s="5">
        <v>1373629</v>
      </c>
      <c r="G29" s="5"/>
    </row>
    <row r="30" spans="2:7" x14ac:dyDescent="0.35">
      <c r="B30">
        <v>2023</v>
      </c>
      <c r="C30" t="s">
        <v>5</v>
      </c>
      <c r="D30" s="5">
        <v>1498324</v>
      </c>
      <c r="G30" s="5"/>
    </row>
    <row r="31" spans="2:7" x14ac:dyDescent="0.35">
      <c r="B31">
        <v>2024</v>
      </c>
      <c r="C31" t="s">
        <v>4</v>
      </c>
      <c r="D31" s="5">
        <v>1591627</v>
      </c>
      <c r="G31" s="5"/>
    </row>
  </sheetData>
  <sortState xmlns:xlrd2="http://schemas.microsoft.com/office/spreadsheetml/2017/richdata2" ref="B2:C31">
    <sortCondition ref="B2:B31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Laloma Cabrera, Miguel</dc:creator>
  <cp:lastModifiedBy>Laloma Cabrera, Miguel</cp:lastModifiedBy>
  <dcterms:created xsi:type="dcterms:W3CDTF">2025-04-22T11:26:55Z</dcterms:created>
  <dcterms:modified xsi:type="dcterms:W3CDTF">2025-04-22T16:59:42Z</dcterms:modified>
</cp:coreProperties>
</file>